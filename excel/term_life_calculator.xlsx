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Documents/Life-Insurance-Pricing-Model-/excel/"/>
    </mc:Choice>
  </mc:AlternateContent>
  <xr:revisionPtr revIDLastSave="0" documentId="8_{399E752B-B392-7141-913A-1089A3765AA2}" xr6:coauthVersionLast="47" xr6:coauthVersionMax="47" xr10:uidLastSave="{00000000-0000-0000-0000-000000000000}"/>
  <bookViews>
    <workbookView xWindow="15660" yWindow="780" windowWidth="16840" windowHeight="19700" xr2:uid="{389D0F94-AB0F-8B4A-B425-41426CBD58E1}"/>
  </bookViews>
  <sheets>
    <sheet name="Mortality_Table " sheetId="1" r:id="rId1"/>
    <sheet name="Assumptions" sheetId="2" r:id="rId2"/>
    <sheet name="Premium Calculator" sheetId="3" r:id="rId3"/>
    <sheet name="Dashboard" sheetId="4" r:id="rId4"/>
  </sheets>
  <definedNames>
    <definedName name="solver_adj" localSheetId="2" hidden="1">'Premium Calculator'!$K$2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itr" localSheetId="2" hidden="1">2147483647</definedName>
    <definedName name="solver_lin" localSheetId="2" hidden="1">2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opt" localSheetId="2" hidden="1">'Premium Calculator'!$F$24</definedName>
    <definedName name="solver_pre" localSheetId="2" hidden="1">0.000001</definedName>
    <definedName name="solver_rbv" localSheetId="2" hidden="1">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3636181.758</definedName>
    <definedName name="solver_ver" localSheetId="2" hidden="1">2</definedName>
  </definedNames>
  <calcPr calcId="191029" calcMode="autoNoTable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3" l="1"/>
  <c r="K6" i="3" s="1"/>
  <c r="F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" i="3"/>
  <c r="C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D2" i="3" l="1"/>
  <c r="E2" i="3" s="1"/>
  <c r="H2" i="3" s="1"/>
  <c r="C3" i="3" l="1"/>
  <c r="C4" i="3" l="1"/>
  <c r="D3" i="3"/>
  <c r="E3" i="3" s="1"/>
  <c r="H3" i="3" s="1"/>
  <c r="F3" i="3"/>
  <c r="C5" i="3" l="1"/>
  <c r="D4" i="3"/>
  <c r="E4" i="3" s="1"/>
  <c r="H4" i="3" s="1"/>
  <c r="F4" i="3"/>
  <c r="D5" i="3" l="1"/>
  <c r="E5" i="3" s="1"/>
  <c r="H5" i="3" s="1"/>
  <c r="C6" i="3"/>
  <c r="F5" i="3"/>
  <c r="D6" i="3" l="1"/>
  <c r="E6" i="3" s="1"/>
  <c r="H6" i="3" s="1"/>
  <c r="C7" i="3"/>
  <c r="F6" i="3"/>
  <c r="D7" i="3" l="1"/>
  <c r="E7" i="3" s="1"/>
  <c r="H7" i="3" s="1"/>
  <c r="C8" i="3"/>
  <c r="F7" i="3"/>
  <c r="D8" i="3" l="1"/>
  <c r="E8" i="3" s="1"/>
  <c r="H8" i="3" s="1"/>
  <c r="C9" i="3"/>
  <c r="F8" i="3"/>
  <c r="D9" i="3" l="1"/>
  <c r="E9" i="3" s="1"/>
  <c r="H9" i="3" s="1"/>
  <c r="C10" i="3"/>
  <c r="F9" i="3"/>
  <c r="D10" i="3" l="1"/>
  <c r="E10" i="3" s="1"/>
  <c r="H10" i="3" s="1"/>
  <c r="C11" i="3"/>
  <c r="F10" i="3"/>
  <c r="D11" i="3" l="1"/>
  <c r="E11" i="3" s="1"/>
  <c r="H11" i="3" s="1"/>
  <c r="C12" i="3"/>
  <c r="F11" i="3"/>
  <c r="D12" i="3" l="1"/>
  <c r="E12" i="3" s="1"/>
  <c r="H12" i="3" s="1"/>
  <c r="C13" i="3"/>
  <c r="F12" i="3"/>
  <c r="D13" i="3" l="1"/>
  <c r="E13" i="3" s="1"/>
  <c r="H13" i="3" s="1"/>
  <c r="C14" i="3"/>
  <c r="F13" i="3"/>
  <c r="C15" i="3" l="1"/>
  <c r="D14" i="3"/>
  <c r="E14" i="3" s="1"/>
  <c r="H14" i="3" s="1"/>
  <c r="F14" i="3"/>
  <c r="D15" i="3" l="1"/>
  <c r="E15" i="3" s="1"/>
  <c r="H15" i="3" s="1"/>
  <c r="C16" i="3"/>
  <c r="F15" i="3"/>
  <c r="C17" i="3" l="1"/>
  <c r="D16" i="3"/>
  <c r="E16" i="3" s="1"/>
  <c r="H16" i="3" s="1"/>
  <c r="F16" i="3"/>
  <c r="C18" i="3" l="1"/>
  <c r="D17" i="3"/>
  <c r="E17" i="3" s="1"/>
  <c r="H17" i="3" s="1"/>
  <c r="F17" i="3"/>
  <c r="D18" i="3" l="1"/>
  <c r="E18" i="3" s="1"/>
  <c r="H18" i="3" s="1"/>
  <c r="C19" i="3"/>
  <c r="F18" i="3"/>
  <c r="D19" i="3" l="1"/>
  <c r="E19" i="3" s="1"/>
  <c r="H19" i="3" s="1"/>
  <c r="C20" i="3"/>
  <c r="F19" i="3"/>
  <c r="D20" i="3" l="1"/>
  <c r="E20" i="3" s="1"/>
  <c r="H20" i="3" s="1"/>
  <c r="C21" i="3"/>
  <c r="F20" i="3"/>
  <c r="F21" i="3" l="1"/>
  <c r="F24" i="3" s="1"/>
  <c r="D21" i="3"/>
  <c r="E21" i="3" s="1"/>
  <c r="H21" i="3" s="1"/>
  <c r="H24" i="3" s="1"/>
</calcChain>
</file>

<file path=xl/sharedStrings.xml><?xml version="1.0" encoding="utf-8"?>
<sst xmlns="http://schemas.openxmlformats.org/spreadsheetml/2006/main" count="31" uniqueCount="31">
  <si>
    <t>Age</t>
  </si>
  <si>
    <t xml:space="preserve">Actual Deaths </t>
  </si>
  <si>
    <t xml:space="preserve">Policies Exposed </t>
  </si>
  <si>
    <t>Actual_qx</t>
  </si>
  <si>
    <t>Expected_qx  2015</t>
  </si>
  <si>
    <t>A/E_Ratio</t>
  </si>
  <si>
    <t xml:space="preserve">Economic Assumptions </t>
  </si>
  <si>
    <t xml:space="preserve">Annual Interest Rate </t>
  </si>
  <si>
    <t xml:space="preserve">Annual Lapse Rate </t>
  </si>
  <si>
    <t xml:space="preserve">Policy Assumptions </t>
  </si>
  <si>
    <t>Policy Term (Years)</t>
  </si>
  <si>
    <t>Face Amount ($)</t>
  </si>
  <si>
    <t xml:space="preserve">Issue Age </t>
  </si>
  <si>
    <t xml:space="preserve">Expense Assumptions </t>
  </si>
  <si>
    <t>Per Policy Annual Expense ($)</t>
  </si>
  <si>
    <t>Expense Loading (% of premium)</t>
  </si>
  <si>
    <t>Profit Margin (% of premium)</t>
  </si>
  <si>
    <t xml:space="preserve">all </t>
  </si>
  <si>
    <t xml:space="preserve">Policy Year </t>
  </si>
  <si>
    <t xml:space="preserve">Attained Age </t>
  </si>
  <si>
    <t xml:space="preserve">Survivors </t>
  </si>
  <si>
    <t xml:space="preserve">Deaths </t>
  </si>
  <si>
    <t xml:space="preserve">Death Claims </t>
  </si>
  <si>
    <t xml:space="preserve">Premium Income </t>
  </si>
  <si>
    <t xml:space="preserve">Discount Factor </t>
  </si>
  <si>
    <t>PV_Net_Cost</t>
  </si>
  <si>
    <t xml:space="preserve">Annual Premium </t>
  </si>
  <si>
    <t xml:space="preserve">Total PV Claims </t>
  </si>
  <si>
    <t>Total PV Premiums</t>
  </si>
  <si>
    <t xml:space="preserve">Gross Annual Premium  </t>
  </si>
  <si>
    <t xml:space="preserve">Monthly Premium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</si>
</sst>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"/>
    <numFmt numFmtId="166" formatCode="&quot;$&quot;#,##0.00"/>
  </numFmts>
  <fonts count="5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rgb="FF000000"/>
      <name val="-webkit-standard"/>
    </font>
    <font>
      <b/>
      <sz val="12"/>
      <color theme="0"/>
      <name val="Aptos Narrow (Body)"/>
    </font>
    <font>
      <b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0" fontId="1" fillId="2" borderId="0" xfId="0" applyFont="1" applyFill="1"/>
    <xf numFmtId="0" fontId="3" fillId="2" borderId="0" xfId="0" applyFont="1" applyFill="1"/>
    <xf numFmtId="0" fontId="0" fillId="2" borderId="0" xfId="0" applyFill="1"/>
    <xf numFmtId="0" fontId="4" fillId="2" borderId="0" xfId="0" applyFont="1" applyFill="1"/>
    <xf numFmtId="10" fontId="0" fillId="0" borderId="0" xfId="0" applyNumberFormat="1"/>
    <xf numFmtId="166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</a:t>
            </a:r>
            <a:r>
              <a:rPr lang="en-US" baseline="0"/>
              <a:t> vs. Expected Mortality Ratio by 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952839375643419E-2"/>
          <c:y val="1.3219060613813168E-2"/>
          <c:w val="0.93443231963495732"/>
          <c:h val="0.85510636080237268"/>
        </c:manualLayout>
      </c:layout>
      <c:lineChart>
        <c:grouping val="standard"/>
        <c:varyColors val="0"/>
        <c:ser>
          <c:idx val="0"/>
          <c:order val="0"/>
          <c:tx>
            <c:strRef>
              <c:f>'Mortality_Table '!$F$1</c:f>
              <c:strCache>
                <c:ptCount val="1"/>
                <c:pt idx="0">
                  <c:v>A/E_Ratio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'Mortality_Table '!$A$2:$A$52</c:f>
              <c:numCache>
                <c:formatCode>General</c:formatCode>
                <c:ptCount val="51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75</c:v>
                </c:pt>
              </c:numCache>
            </c:numRef>
          </c:cat>
          <c:val>
            <c:numRef>
              <c:f>'Mortality_Table '!$F$2:$F$52</c:f>
              <c:numCache>
                <c:formatCode>0.000</c:formatCode>
                <c:ptCount val="51"/>
                <c:pt idx="0">
                  <c:v>1.3311752159377994</c:v>
                </c:pt>
                <c:pt idx="1">
                  <c:v>1.5069013182488633</c:v>
                </c:pt>
                <c:pt idx="2">
                  <c:v>1.4771134460054429</c:v>
                </c:pt>
                <c:pt idx="3">
                  <c:v>0.90460424516489124</c:v>
                </c:pt>
                <c:pt idx="4">
                  <c:v>1.5139196730588211</c:v>
                </c:pt>
                <c:pt idx="5">
                  <c:v>1.6375965430002786</c:v>
                </c:pt>
                <c:pt idx="6">
                  <c:v>1.9150826135158598</c:v>
                </c:pt>
                <c:pt idx="7">
                  <c:v>1.6713064240953588</c:v>
                </c:pt>
                <c:pt idx="8">
                  <c:v>1.6933251139869903</c:v>
                </c:pt>
                <c:pt idx="9">
                  <c:v>1.2722214683132076</c:v>
                </c:pt>
                <c:pt idx="10">
                  <c:v>1.3766134620526784</c:v>
                </c:pt>
                <c:pt idx="11">
                  <c:v>1.4745371796427404</c:v>
                </c:pt>
                <c:pt idx="12">
                  <c:v>1.4702306565710734</c:v>
                </c:pt>
                <c:pt idx="13">
                  <c:v>1.2604738301195051</c:v>
                </c:pt>
                <c:pt idx="14">
                  <c:v>1.2627746367702988</c:v>
                </c:pt>
                <c:pt idx="15">
                  <c:v>1.4403185356098105</c:v>
                </c:pt>
                <c:pt idx="16">
                  <c:v>1.0423008428056297</c:v>
                </c:pt>
                <c:pt idx="17">
                  <c:v>1.1470661107729312</c:v>
                </c:pt>
                <c:pt idx="18">
                  <c:v>1.2506841114468779</c:v>
                </c:pt>
                <c:pt idx="19">
                  <c:v>1.4627498830634025</c:v>
                </c:pt>
                <c:pt idx="20">
                  <c:v>1.4564839676852916</c:v>
                </c:pt>
                <c:pt idx="21">
                  <c:v>1.4199096740712769</c:v>
                </c:pt>
                <c:pt idx="22">
                  <c:v>1.2204813748278096</c:v>
                </c:pt>
                <c:pt idx="23">
                  <c:v>1.3645377622564692</c:v>
                </c:pt>
                <c:pt idx="24">
                  <c:v>1.3086402919669102</c:v>
                </c:pt>
                <c:pt idx="25">
                  <c:v>1.3320786286335549</c:v>
                </c:pt>
                <c:pt idx="26">
                  <c:v>1.3029487522679974</c:v>
                </c:pt>
                <c:pt idx="27">
                  <c:v>1.3913166323608941</c:v>
                </c:pt>
                <c:pt idx="28">
                  <c:v>1.4488383543069052</c:v>
                </c:pt>
                <c:pt idx="29">
                  <c:v>1.4320742231811912</c:v>
                </c:pt>
                <c:pt idx="30">
                  <c:v>1.4551731170493172</c:v>
                </c:pt>
                <c:pt idx="31">
                  <c:v>1.3985429870349926</c:v>
                </c:pt>
                <c:pt idx="32">
                  <c:v>1.2799434582444442</c:v>
                </c:pt>
                <c:pt idx="33">
                  <c:v>1.3909665210628837</c:v>
                </c:pt>
                <c:pt idx="34">
                  <c:v>1.457858411360055</c:v>
                </c:pt>
                <c:pt idx="35">
                  <c:v>1.5253278317948118</c:v>
                </c:pt>
                <c:pt idx="36">
                  <c:v>1.4962838037242376</c:v>
                </c:pt>
                <c:pt idx="37">
                  <c:v>1.5013508286261545</c:v>
                </c:pt>
                <c:pt idx="38">
                  <c:v>1.3947790243564202</c:v>
                </c:pt>
                <c:pt idx="39">
                  <c:v>1.4229874197890984</c:v>
                </c:pt>
                <c:pt idx="40">
                  <c:v>1.4656433204364618</c:v>
                </c:pt>
                <c:pt idx="41">
                  <c:v>1.4821608021122725</c:v>
                </c:pt>
                <c:pt idx="42">
                  <c:v>1.5111679234655597</c:v>
                </c:pt>
                <c:pt idx="43">
                  <c:v>1.5385300776609829</c:v>
                </c:pt>
                <c:pt idx="44">
                  <c:v>1.5171538272673923</c:v>
                </c:pt>
                <c:pt idx="45">
                  <c:v>1.6078601502613112</c:v>
                </c:pt>
                <c:pt idx="46">
                  <c:v>1.5553586300377231</c:v>
                </c:pt>
                <c:pt idx="47">
                  <c:v>1.4204807963048913</c:v>
                </c:pt>
                <c:pt idx="48">
                  <c:v>1.5344811178365914</c:v>
                </c:pt>
                <c:pt idx="49">
                  <c:v>1.5265334410048239</c:v>
                </c:pt>
                <c:pt idx="50">
                  <c:v>1.4265088159150963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AC-B846-80A6-756490916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469008"/>
        <c:axId val="202470720"/>
      </c:lineChart>
      <c:catAx>
        <c:axId val="202469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70720"/>
        <c:crosses val="autoZero"/>
        <c:auto val="1"/>
        <c:lblAlgn val="ctr"/>
        <c:lblOffset val="100"/>
        <c:noMultiLvlLbl val="0"/>
      </c:catAx>
      <c:valAx>
        <c:axId val="20247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A/E</a:t>
                </a:r>
                <a:r>
                  <a:rPr lang="en-US" baseline="0"/>
                  <a:t> ratio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69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368300</xdr:colOff>
      <xdr:row>3</xdr:row>
      <xdr:rowOff>158750</xdr:rowOff>
    </xdr:from>
    <xdr:to>
      <xdr:col>11</xdr:col>
      <xdr:colOff>546100</xdr:colOff>
      <xdr:row>29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99F9FE-1E10-8437-714E-2329D73DBB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7F71E-F633-0244-87EC-500C1B5700B2}">
  <dimension ref="A1:F52"/>
  <sheetViews>
    <sheetView tabSelected="1" zoomScale="88" workbookViewId="0">
      <selection activeCell="B53" sqref="B53"/>
    </sheetView>
  </sheetViews>
  <sheetFormatPr baseColWidth="10" defaultRowHeight="16"/>
  <cols>
    <col min="1" max="1" width="15.83203125" customWidth="1"/>
    <col min="2" max="3" width="15.83203125" style="3" customWidth="1"/>
    <col min="4" max="5" width="15.83203125" style="1" customWidth="1"/>
    <col min="6" max="6" width="15.83203125" style="2" customWidth="1"/>
    <col min="7" max="9" width="15.83203125" customWidth="1"/>
  </cols>
  <sheetData>
    <row r="1" spans="1:6">
      <c r="A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2" t="s">
        <v>5</v>
      </c>
    </row>
    <row r="2" spans="1:6" ht="18">
      <c r="A2">
        <v>25</v>
      </c>
      <c r="B2" s="4">
        <v>22</v>
      </c>
      <c r="C2" s="3">
        <v>67370.90009999997</v>
      </c>
      <c r="D2" s="1">
        <v>3.2655048347795504E-4</v>
      </c>
      <c r="E2" s="1">
        <v>2.453099183099676E-4</v>
      </c>
      <c r="F2" s="2">
        <v>1.3311752159377994</v>
      </c>
    </row>
    <row r="3" spans="1:6" ht="18">
      <c r="A3">
        <v>26</v>
      </c>
      <c r="B3" s="4">
        <v>26</v>
      </c>
      <c r="C3" s="3">
        <v>79744.279599999398</v>
      </c>
      <c r="D3" s="1">
        <v>3.2604219550815526E-4</v>
      </c>
      <c r="E3" s="1">
        <v>2.1636598996876695E-4</v>
      </c>
      <c r="F3" s="2">
        <v>1.5069013182488633</v>
      </c>
    </row>
    <row r="4" spans="1:6" ht="18">
      <c r="A4">
        <v>27</v>
      </c>
      <c r="B4" s="4">
        <v>28</v>
      </c>
      <c r="C4" s="3">
        <v>95809.005699999223</v>
      </c>
      <c r="D4" s="1">
        <v>2.9224810126591498E-4</v>
      </c>
      <c r="E4" s="1">
        <v>1.9785081643948293E-4</v>
      </c>
      <c r="F4" s="2">
        <v>1.4771134460054429</v>
      </c>
    </row>
    <row r="5" spans="1:6" ht="18">
      <c r="A5">
        <v>28</v>
      </c>
      <c r="B5" s="4">
        <v>19</v>
      </c>
      <c r="C5" s="3">
        <v>112756.79039999915</v>
      </c>
      <c r="D5" s="1">
        <v>1.6850426420083825E-4</v>
      </c>
      <c r="E5" s="1">
        <v>1.8627401441181972E-4</v>
      </c>
      <c r="F5" s="2">
        <v>0.90460424516489124</v>
      </c>
    </row>
    <row r="6" spans="1:6" ht="18">
      <c r="A6">
        <v>29</v>
      </c>
      <c r="B6" s="4">
        <v>37</v>
      </c>
      <c r="C6" s="3">
        <v>134288.27529999861</v>
      </c>
      <c r="D6" s="1">
        <v>2.7552666021916201E-4</v>
      </c>
      <c r="E6" s="1">
        <v>1.8199556100785067E-4</v>
      </c>
      <c r="F6" s="2">
        <v>1.5139196730588211</v>
      </c>
    </row>
    <row r="7" spans="1:6" ht="18">
      <c r="A7">
        <v>30</v>
      </c>
      <c r="B7" s="4">
        <v>49</v>
      </c>
      <c r="C7" s="3">
        <v>162515.46519999966</v>
      </c>
      <c r="D7" s="1">
        <v>3.0150976671480557E-4</v>
      </c>
      <c r="E7" s="1">
        <v>1.8411724670742315E-4</v>
      </c>
      <c r="F7" s="2">
        <v>1.6375965430002786</v>
      </c>
    </row>
    <row r="8" spans="1:6" ht="18">
      <c r="A8">
        <v>31</v>
      </c>
      <c r="B8" s="4">
        <v>73</v>
      </c>
      <c r="C8" s="3">
        <v>200930.29160000023</v>
      </c>
      <c r="D8" s="1">
        <v>3.6331007842920941E-4</v>
      </c>
      <c r="E8" s="1">
        <v>1.8970987249590035E-4</v>
      </c>
      <c r="F8" s="2">
        <v>1.9150826135158598</v>
      </c>
    </row>
    <row r="9" spans="1:6" ht="18">
      <c r="A9">
        <v>32</v>
      </c>
      <c r="B9" s="4">
        <v>74</v>
      </c>
      <c r="C9" s="3">
        <v>226761.01610000027</v>
      </c>
      <c r="D9" s="1">
        <v>3.2633475221052299E-4</v>
      </c>
      <c r="E9" s="1">
        <v>1.9525728346742925E-4</v>
      </c>
      <c r="F9" s="2">
        <v>1.6713064240953588</v>
      </c>
    </row>
    <row r="10" spans="1:6" ht="18">
      <c r="A10">
        <v>33</v>
      </c>
      <c r="B10" s="4">
        <v>84</v>
      </c>
      <c r="C10" s="3">
        <v>240316.26390000005</v>
      </c>
      <c r="D10" s="1">
        <v>3.4953938879040628E-4</v>
      </c>
      <c r="E10" s="1">
        <v>2.0642190085246192E-4</v>
      </c>
      <c r="F10" s="2">
        <v>1.6933251139869903</v>
      </c>
    </row>
    <row r="11" spans="1:6" ht="18">
      <c r="A11">
        <v>34</v>
      </c>
      <c r="B11" s="4">
        <v>72</v>
      </c>
      <c r="C11" s="3">
        <v>251155.08469999983</v>
      </c>
      <c r="D11" s="1">
        <v>2.8667546223881029E-4</v>
      </c>
      <c r="E11" s="1">
        <v>2.2533455799869729E-4</v>
      </c>
      <c r="F11" s="2">
        <v>1.2722214683132076</v>
      </c>
    </row>
    <row r="12" spans="1:6" ht="18">
      <c r="A12">
        <v>35</v>
      </c>
      <c r="B12" s="4">
        <v>92</v>
      </c>
      <c r="C12" s="3">
        <v>271480.60480000288</v>
      </c>
      <c r="D12" s="1">
        <v>3.3888240402210504E-4</v>
      </c>
      <c r="E12" s="1">
        <v>2.4617106643486911E-4</v>
      </c>
      <c r="F12" s="2">
        <v>1.3766134620526784</v>
      </c>
    </row>
    <row r="13" spans="1:6" ht="18">
      <c r="A13">
        <v>36</v>
      </c>
      <c r="B13" s="4">
        <v>118</v>
      </c>
      <c r="C13" s="3">
        <v>290036.14100000355</v>
      </c>
      <c r="D13" s="1">
        <v>4.0684584891094162E-4</v>
      </c>
      <c r="E13" s="1">
        <v>2.7591426959441921E-4</v>
      </c>
      <c r="F13" s="2">
        <v>1.4745371796427404</v>
      </c>
    </row>
    <row r="14" spans="1:6" ht="18">
      <c r="A14">
        <v>37</v>
      </c>
      <c r="B14" s="4">
        <v>143</v>
      </c>
      <c r="C14" s="3">
        <v>313348.96770000586</v>
      </c>
      <c r="D14" s="1">
        <v>4.5636020775694842E-4</v>
      </c>
      <c r="E14" s="1">
        <v>3.1040041623216365E-4</v>
      </c>
      <c r="F14" s="2">
        <v>1.4702306565710734</v>
      </c>
    </row>
    <row r="15" spans="1:6" ht="18">
      <c r="A15">
        <v>38</v>
      </c>
      <c r="B15" s="4">
        <v>147</v>
      </c>
      <c r="C15" s="3">
        <v>335872.3421000067</v>
      </c>
      <c r="D15" s="1">
        <v>4.3766628440108484E-4</v>
      </c>
      <c r="E15" s="1">
        <v>3.472236185654008E-4</v>
      </c>
      <c r="F15" s="2">
        <v>1.2604738301195051</v>
      </c>
    </row>
    <row r="16" spans="1:6" ht="18">
      <c r="A16">
        <v>39</v>
      </c>
      <c r="B16" s="4">
        <v>170</v>
      </c>
      <c r="C16" s="3">
        <v>350412.91850000661</v>
      </c>
      <c r="D16" s="1">
        <v>4.8514193120421955E-4</v>
      </c>
      <c r="E16" s="1">
        <v>3.8418726277638076E-4</v>
      </c>
      <c r="F16" s="2">
        <v>1.2627746367702988</v>
      </c>
    </row>
    <row r="17" spans="1:6" ht="18">
      <c r="A17">
        <v>40</v>
      </c>
      <c r="B17" s="4">
        <v>220</v>
      </c>
      <c r="C17" s="3">
        <v>360064.81180000777</v>
      </c>
      <c r="D17" s="1">
        <v>6.1100111088388022E-4</v>
      </c>
      <c r="E17" s="1">
        <v>4.2421248895834764E-4</v>
      </c>
      <c r="F17" s="2">
        <v>1.4403185356098105</v>
      </c>
    </row>
    <row r="18" spans="1:6" ht="18">
      <c r="A18">
        <v>41</v>
      </c>
      <c r="B18" s="4">
        <v>178</v>
      </c>
      <c r="C18" s="3">
        <v>366890.0675000067</v>
      </c>
      <c r="D18" s="1">
        <v>4.8515895023513208E-4</v>
      </c>
      <c r="E18" s="1">
        <v>4.6546921033777333E-4</v>
      </c>
      <c r="F18" s="2">
        <v>1.0423008428056297</v>
      </c>
    </row>
    <row r="19" spans="1:6" ht="18">
      <c r="A19">
        <v>42</v>
      </c>
      <c r="B19" s="4">
        <v>210</v>
      </c>
      <c r="C19" s="3">
        <v>362685.65260000684</v>
      </c>
      <c r="D19" s="1">
        <v>5.7901380574213552E-4</v>
      </c>
      <c r="E19" s="1">
        <v>5.0477805969873597E-4</v>
      </c>
      <c r="F19" s="2">
        <v>1.1470661107729312</v>
      </c>
    </row>
    <row r="20" spans="1:6" ht="18">
      <c r="A20">
        <v>43</v>
      </c>
      <c r="B20" s="4">
        <v>245</v>
      </c>
      <c r="C20" s="3">
        <v>358381.33250000863</v>
      </c>
      <c r="D20" s="1">
        <v>6.8362935728521546E-4</v>
      </c>
      <c r="E20" s="1">
        <v>5.4660433520207249E-4</v>
      </c>
      <c r="F20" s="2">
        <v>1.2506841114468779</v>
      </c>
    </row>
    <row r="21" spans="1:6" ht="18">
      <c r="A21">
        <v>44</v>
      </c>
      <c r="B21" s="4">
        <v>307</v>
      </c>
      <c r="C21" s="3">
        <v>357279.67780000711</v>
      </c>
      <c r="D21" s="1">
        <v>8.5927081520670214E-4</v>
      </c>
      <c r="E21" s="1">
        <v>5.8743523083191205E-4</v>
      </c>
      <c r="F21" s="2">
        <v>1.4627498830634025</v>
      </c>
    </row>
    <row r="22" spans="1:6" ht="18">
      <c r="A22">
        <v>45</v>
      </c>
      <c r="B22" s="4">
        <v>324</v>
      </c>
      <c r="C22" s="3">
        <v>352920.72720000555</v>
      </c>
      <c r="D22" s="1">
        <v>9.1805319163468756E-4</v>
      </c>
      <c r="E22" s="1">
        <v>6.3032152224352879E-4</v>
      </c>
      <c r="F22" s="2">
        <v>1.4564839676852916</v>
      </c>
    </row>
    <row r="23" spans="1:6" ht="18">
      <c r="A23">
        <v>46</v>
      </c>
      <c r="B23" s="4">
        <v>332</v>
      </c>
      <c r="C23" s="3">
        <v>340688.24800000637</v>
      </c>
      <c r="D23" s="1">
        <v>9.7449795215711048E-4</v>
      </c>
      <c r="E23" s="1">
        <v>6.8630981952743037E-4</v>
      </c>
      <c r="F23" s="2">
        <v>1.4199096740712769</v>
      </c>
    </row>
    <row r="24" spans="1:6" ht="18">
      <c r="A24">
        <v>47</v>
      </c>
      <c r="B24" s="4">
        <v>302</v>
      </c>
      <c r="C24" s="3">
        <v>329579.00970000675</v>
      </c>
      <c r="D24" s="1">
        <v>9.1632049102547504E-4</v>
      </c>
      <c r="E24" s="1">
        <v>7.5078613236089181E-4</v>
      </c>
      <c r="F24" s="2">
        <v>1.2204813748278096</v>
      </c>
    </row>
    <row r="25" spans="1:6" ht="18">
      <c r="A25">
        <v>48</v>
      </c>
      <c r="B25" s="4">
        <v>355</v>
      </c>
      <c r="C25" s="3">
        <v>317912.85630000767</v>
      </c>
      <c r="D25" s="1">
        <v>1.1166582066910625E-3</v>
      </c>
      <c r="E25" s="1">
        <v>8.1834174002227652E-4</v>
      </c>
      <c r="F25" s="2">
        <v>1.3645377622564692</v>
      </c>
    </row>
    <row r="26" spans="1:6" ht="18">
      <c r="A26">
        <v>49</v>
      </c>
      <c r="B26" s="4">
        <v>353</v>
      </c>
      <c r="C26" s="3">
        <v>303831.07420000568</v>
      </c>
      <c r="D26" s="1">
        <v>1.1618298126004961E-3</v>
      </c>
      <c r="E26" s="1">
        <v>8.8781448938443175E-4</v>
      </c>
      <c r="F26" s="2">
        <v>1.3086402919669102</v>
      </c>
    </row>
    <row r="27" spans="1:6" ht="18">
      <c r="A27">
        <v>50</v>
      </c>
      <c r="B27" s="4">
        <v>376</v>
      </c>
      <c r="C27" s="3">
        <v>292430.66100000445</v>
      </c>
      <c r="D27" s="1">
        <v>1.2857748866490928E-3</v>
      </c>
      <c r="E27" s="1">
        <v>9.6523948287349955E-4</v>
      </c>
      <c r="F27" s="2">
        <v>1.3320786286335549</v>
      </c>
    </row>
    <row r="28" spans="1:6" ht="18">
      <c r="A28">
        <v>51</v>
      </c>
      <c r="B28" s="4">
        <v>378</v>
      </c>
      <c r="C28" s="3">
        <v>274087.4517000023</v>
      </c>
      <c r="D28" s="1">
        <v>1.3791218738964139E-3</v>
      </c>
      <c r="E28" s="1">
        <v>1.0584621010579461E-3</v>
      </c>
      <c r="F28" s="2">
        <v>1.3029487522679974</v>
      </c>
    </row>
    <row r="29" spans="1:6" ht="18">
      <c r="A29">
        <v>52</v>
      </c>
      <c r="B29" s="4">
        <v>416</v>
      </c>
      <c r="C29" s="3">
        <v>256296.68940000018</v>
      </c>
      <c r="D29" s="1">
        <v>1.6231188977659876E-3</v>
      </c>
      <c r="E29" s="1">
        <v>1.1666064072070738E-3</v>
      </c>
      <c r="F29" s="2">
        <v>1.3913166323608941</v>
      </c>
    </row>
    <row r="30" spans="1:6" ht="18">
      <c r="A30">
        <v>53</v>
      </c>
      <c r="B30" s="4">
        <v>458</v>
      </c>
      <c r="C30" s="3">
        <v>246255.06130000067</v>
      </c>
      <c r="D30" s="1">
        <v>1.859860250514976E-3</v>
      </c>
      <c r="E30" s="1">
        <v>1.283690651193932E-3</v>
      </c>
      <c r="F30" s="2">
        <v>1.4488383543069052</v>
      </c>
    </row>
    <row r="31" spans="1:6" ht="18">
      <c r="A31">
        <v>54</v>
      </c>
      <c r="B31" s="4">
        <v>479</v>
      </c>
      <c r="C31" s="3">
        <v>237832.95000000086</v>
      </c>
      <c r="D31" s="1">
        <v>2.0140186630994497E-3</v>
      </c>
      <c r="E31" s="1">
        <v>1.4063647194385879E-3</v>
      </c>
      <c r="F31" s="2">
        <v>1.4320742231811912</v>
      </c>
    </row>
    <row r="32" spans="1:6" ht="18">
      <c r="A32">
        <v>55</v>
      </c>
      <c r="B32" s="4">
        <v>529</v>
      </c>
      <c r="C32" s="3">
        <v>235464.16260000042</v>
      </c>
      <c r="D32" s="1">
        <v>2.246626383220149E-3</v>
      </c>
      <c r="E32" s="1">
        <v>1.54388942243221E-3</v>
      </c>
      <c r="F32" s="2">
        <v>1.4551731170493172</v>
      </c>
    </row>
    <row r="33" spans="1:6" ht="18">
      <c r="A33">
        <v>56</v>
      </c>
      <c r="B33" s="4">
        <v>437</v>
      </c>
      <c r="C33" s="3">
        <v>185544.56719999929</v>
      </c>
      <c r="D33" s="1">
        <v>2.3552292939353799E-3</v>
      </c>
      <c r="E33" s="1">
        <v>1.6840592786701739E-3</v>
      </c>
      <c r="F33" s="2">
        <v>1.3985429870349926</v>
      </c>
    </row>
    <row r="34" spans="1:6" ht="18">
      <c r="A34">
        <v>57</v>
      </c>
      <c r="B34" s="4">
        <v>379</v>
      </c>
      <c r="C34" s="3">
        <v>158804.99679999921</v>
      </c>
      <c r="D34" s="1">
        <v>2.3865747781054826E-3</v>
      </c>
      <c r="E34" s="1">
        <v>1.864593910561394E-3</v>
      </c>
      <c r="F34" s="2">
        <v>1.2799434582444442</v>
      </c>
    </row>
    <row r="35" spans="1:6" ht="18">
      <c r="A35">
        <v>58</v>
      </c>
      <c r="B35" s="4">
        <v>436</v>
      </c>
      <c r="C35" s="3">
        <v>151561.37679999843</v>
      </c>
      <c r="D35" s="1">
        <v>2.8767223497537173E-3</v>
      </c>
      <c r="E35" s="1">
        <v>2.068146361679157E-3</v>
      </c>
      <c r="F35" s="2">
        <v>1.3909665210628837</v>
      </c>
    </row>
    <row r="36" spans="1:6" ht="18">
      <c r="A36">
        <v>59</v>
      </c>
      <c r="B36" s="4">
        <v>489</v>
      </c>
      <c r="C36" s="3">
        <v>147279.94369999852</v>
      </c>
      <c r="D36" s="1">
        <v>3.3202076787594869E-3</v>
      </c>
      <c r="E36" s="1">
        <v>2.2774555148068337E-3</v>
      </c>
      <c r="F36" s="2">
        <v>1.457858411360055</v>
      </c>
    </row>
    <row r="37" spans="1:6" ht="18">
      <c r="A37">
        <v>60</v>
      </c>
      <c r="B37" s="4">
        <v>483</v>
      </c>
      <c r="C37" s="3">
        <v>126509.56599999833</v>
      </c>
      <c r="D37" s="1">
        <v>3.8178931069924498E-3</v>
      </c>
      <c r="E37" s="1">
        <v>2.502998389860912E-3</v>
      </c>
      <c r="F37" s="2">
        <v>1.5253278317948118</v>
      </c>
    </row>
    <row r="38" spans="1:6" ht="18">
      <c r="A38">
        <v>61</v>
      </c>
      <c r="B38" s="4">
        <v>452</v>
      </c>
      <c r="C38" s="3">
        <v>108625.52979999871</v>
      </c>
      <c r="D38" s="1">
        <v>4.1610844230838022E-3</v>
      </c>
      <c r="E38" s="1">
        <v>2.7809459761088764E-3</v>
      </c>
      <c r="F38" s="2">
        <v>1.4962838037242376</v>
      </c>
    </row>
    <row r="39" spans="1:6" ht="18">
      <c r="A39">
        <v>62</v>
      </c>
      <c r="B39" s="4">
        <v>446</v>
      </c>
      <c r="C39" s="3">
        <v>96162.472899998815</v>
      </c>
      <c r="D39" s="1">
        <v>4.6379838886194602E-3</v>
      </c>
      <c r="E39" s="1">
        <v>3.0892072660082745E-3</v>
      </c>
      <c r="F39" s="2">
        <v>1.5013508286261545</v>
      </c>
    </row>
    <row r="40" spans="1:6" ht="18">
      <c r="A40">
        <v>63</v>
      </c>
      <c r="B40" s="4">
        <v>417</v>
      </c>
      <c r="C40" s="3">
        <v>87144.564099998723</v>
      </c>
      <c r="D40" s="1">
        <v>4.7851521699218197E-3</v>
      </c>
      <c r="E40" s="1">
        <v>3.4307600604545851E-3</v>
      </c>
      <c r="F40" s="2">
        <v>1.3947790243564202</v>
      </c>
    </row>
    <row r="41" spans="1:6" ht="18">
      <c r="A41">
        <v>64</v>
      </c>
      <c r="B41" s="4">
        <v>426</v>
      </c>
      <c r="C41" s="3">
        <v>78737.927499998681</v>
      </c>
      <c r="D41" s="1">
        <v>5.4103532252611948E-3</v>
      </c>
      <c r="E41" s="1">
        <v>3.8021089645775405E-3</v>
      </c>
      <c r="F41" s="2">
        <v>1.4229874197890984</v>
      </c>
    </row>
    <row r="42" spans="1:6" ht="18">
      <c r="A42">
        <v>65</v>
      </c>
      <c r="B42" s="4">
        <v>436</v>
      </c>
      <c r="C42" s="3">
        <v>70894.940499998906</v>
      </c>
      <c r="D42" s="1">
        <v>6.1499452136504259E-3</v>
      </c>
      <c r="E42" s="1">
        <v>4.1960722147725551E-3</v>
      </c>
      <c r="F42" s="2">
        <v>1.4656433204364618</v>
      </c>
    </row>
    <row r="43" spans="1:6" ht="18">
      <c r="A43">
        <v>66</v>
      </c>
      <c r="B43" s="4">
        <v>447</v>
      </c>
      <c r="C43" s="3">
        <v>64594.053099999917</v>
      </c>
      <c r="D43" s="1">
        <v>6.9201416933535103E-3</v>
      </c>
      <c r="E43" s="1">
        <v>4.6689547338530377E-3</v>
      </c>
      <c r="F43" s="2">
        <v>1.4821608021122725</v>
      </c>
    </row>
    <row r="44" spans="1:6" ht="18">
      <c r="A44">
        <v>67</v>
      </c>
      <c r="B44" s="4">
        <v>462</v>
      </c>
      <c r="C44" s="3">
        <v>58860.179400000059</v>
      </c>
      <c r="D44" s="1">
        <v>7.8491096138249197E-3</v>
      </c>
      <c r="E44" s="1">
        <v>5.1940684366993213E-3</v>
      </c>
      <c r="F44" s="2">
        <v>1.5111679234655597</v>
      </c>
    </row>
    <row r="45" spans="1:6" ht="18">
      <c r="A45">
        <v>68</v>
      </c>
      <c r="B45" s="4">
        <v>460</v>
      </c>
      <c r="C45" s="3">
        <v>51918.063799999902</v>
      </c>
      <c r="D45" s="1">
        <v>8.8601146948010974E-3</v>
      </c>
      <c r="E45" s="1">
        <v>5.7588179935169487E-3</v>
      </c>
      <c r="F45" s="2">
        <v>1.5385300776609829</v>
      </c>
    </row>
    <row r="46" spans="1:6" ht="18">
      <c r="A46">
        <v>69</v>
      </c>
      <c r="B46" s="4">
        <v>464</v>
      </c>
      <c r="C46" s="3">
        <v>47306.383799999974</v>
      </c>
      <c r="D46" s="1">
        <v>9.8084013768983177E-3</v>
      </c>
      <c r="E46" s="1">
        <v>6.4650012415449192E-3</v>
      </c>
      <c r="F46" s="2">
        <v>1.5171538272673923</v>
      </c>
    </row>
    <row r="47" spans="1:6" ht="18">
      <c r="A47">
        <v>70</v>
      </c>
      <c r="B47" s="4">
        <v>498</v>
      </c>
      <c r="C47" s="3">
        <v>42940.2253000001</v>
      </c>
      <c r="D47" s="1">
        <v>1.1597517165332591E-2</v>
      </c>
      <c r="E47" s="1">
        <v>7.2130136215191043E-3</v>
      </c>
      <c r="F47" s="2">
        <v>1.6078601502613112</v>
      </c>
    </row>
    <row r="48" spans="1:6" ht="18">
      <c r="A48">
        <v>71</v>
      </c>
      <c r="B48" s="4">
        <v>519</v>
      </c>
      <c r="C48" s="3">
        <v>40825.729700000084</v>
      </c>
      <c r="D48" s="1">
        <v>1.271257130769665E-2</v>
      </c>
      <c r="E48" s="1">
        <v>8.1734019808591182E-3</v>
      </c>
      <c r="F48" s="2">
        <v>1.5553586300377231</v>
      </c>
    </row>
    <row r="49" spans="1:6" ht="18">
      <c r="A49">
        <v>72</v>
      </c>
      <c r="B49" s="4">
        <v>495</v>
      </c>
      <c r="C49" s="3">
        <v>37196.418500000116</v>
      </c>
      <c r="D49" s="1">
        <v>1.3307732839923781E-2</v>
      </c>
      <c r="E49" s="1">
        <v>9.3684707843578723E-3</v>
      </c>
      <c r="F49" s="2">
        <v>1.4204807963048913</v>
      </c>
    </row>
    <row r="50" spans="1:6" ht="18">
      <c r="A50">
        <v>73</v>
      </c>
      <c r="B50" s="4">
        <v>555</v>
      </c>
      <c r="C50" s="3">
        <v>33820.953500000127</v>
      </c>
      <c r="D50" s="1">
        <v>1.6409945390806261E-2</v>
      </c>
      <c r="E50" s="1">
        <v>1.0694133150326439E-2</v>
      </c>
      <c r="F50" s="2">
        <v>1.5344811178365914</v>
      </c>
    </row>
    <row r="51" spans="1:6" ht="18">
      <c r="A51">
        <v>74</v>
      </c>
      <c r="B51" s="4">
        <v>580</v>
      </c>
      <c r="C51" s="3">
        <v>30847.096399999835</v>
      </c>
      <c r="D51" s="1">
        <v>1.8802417980578655E-2</v>
      </c>
      <c r="E51" s="1">
        <v>1.2317069168299496E-2</v>
      </c>
      <c r="F51" s="2">
        <v>1.5265334410048239</v>
      </c>
    </row>
    <row r="52" spans="1:6" ht="18">
      <c r="A52">
        <v>75</v>
      </c>
      <c r="B52" s="4">
        <v>551</v>
      </c>
      <c r="C52" s="3">
        <v>27489.457199999819</v>
      </c>
      <c r="D52" s="1">
        <v>2.0044048014160265E-2</v>
      </c>
      <c r="E52" s="1">
        <v>1.4051121023953951E-2</v>
      </c>
      <c r="F52" s="2">
        <v>1.4265088159150963</v>
      </c>
    </row>
  </sheetData>
  <conditionalFormatting sqref="F2:F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3BC6F-F85D-EA4B-AC54-9AD55217F9EE}">
  <dimension ref="A1:B18"/>
  <sheetViews>
    <sheetView workbookViewId="0">
      <selection activeCell="B6" sqref="B6"/>
    </sheetView>
  </sheetViews>
  <sheetFormatPr baseColWidth="10" defaultRowHeight="16"/>
  <cols>
    <col min="1" max="1" width="26.83203125" customWidth="1"/>
    <col min="2" max="7" width="20.83203125" customWidth="1"/>
  </cols>
  <sheetData>
    <row r="1" spans="1:2">
      <c r="A1" s="8" t="s">
        <v>6</v>
      </c>
      <c r="B1" s="8"/>
    </row>
    <row r="2" spans="1:2">
      <c r="A2" t="s">
        <v>7</v>
      </c>
      <c r="B2" s="9">
        <v>0.05</v>
      </c>
    </row>
    <row r="3" spans="1:2">
      <c r="A3" t="s">
        <v>8</v>
      </c>
      <c r="B3" s="9">
        <v>0.03</v>
      </c>
    </row>
    <row r="4" spans="1:2">
      <c r="A4" s="8" t="s">
        <v>9</v>
      </c>
      <c r="B4" s="5"/>
    </row>
    <row r="5" spans="1:2">
      <c r="A5" t="s">
        <v>10</v>
      </c>
      <c r="B5">
        <v>20</v>
      </c>
    </row>
    <row r="6" spans="1:2">
      <c r="A6" t="s">
        <v>11</v>
      </c>
      <c r="B6" s="10">
        <v>500000</v>
      </c>
    </row>
    <row r="7" spans="1:2">
      <c r="A7" t="s">
        <v>12</v>
      </c>
      <c r="B7">
        <v>35</v>
      </c>
    </row>
    <row r="8" spans="1:2">
      <c r="A8" s="6" t="s">
        <v>13</v>
      </c>
      <c r="B8" s="7"/>
    </row>
    <row r="9" spans="1:2">
      <c r="A9" t="s">
        <v>14</v>
      </c>
      <c r="B9" s="10" t="s">
        <v>17</v>
      </c>
    </row>
    <row r="10" spans="1:2">
      <c r="A10" t="s">
        <v>15</v>
      </c>
      <c r="B10" s="9">
        <v>0.15</v>
      </c>
    </row>
    <row r="11" spans="1:2">
      <c r="A11" t="s">
        <v>16</v>
      </c>
      <c r="B11" s="9">
        <v>0.1</v>
      </c>
    </row>
    <row r="18" spans="2:2">
      <c r="B18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A124-1825-3B44-9DFF-FF8A0DA5B599}">
  <dimension ref="A1:K24"/>
  <sheetViews>
    <sheetView topLeftCell="B1" workbookViewId="0">
      <selection activeCell="C4" sqref="C4"/>
    </sheetView>
  </sheetViews>
  <sheetFormatPr baseColWidth="10" defaultRowHeight="16"/>
  <cols>
    <col min="1" max="8" width="15.83203125" customWidth="1"/>
    <col min="10" max="10" width="21.6640625" customWidth="1"/>
  </cols>
  <sheetData>
    <row r="1" spans="1:11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J1" s="11"/>
    </row>
    <row r="2" spans="1:11">
      <c r="A2">
        <v>1</v>
      </c>
      <c r="B2">
        <f>Assumptions!$B$7+A2-1</f>
        <v>35</v>
      </c>
      <c r="C2">
        <f>1000</f>
        <v>1000</v>
      </c>
      <c r="D2">
        <f>C2*VLOOKUP(B2,'Mortality_Table '!A:D,4,FALSE)</f>
        <v>0.33888240402210501</v>
      </c>
      <c r="E2">
        <f>D2*Assumptions!$B$6</f>
        <v>169441.20201105252</v>
      </c>
      <c r="F2">
        <f>C2*$K$2*G2</f>
        <v>349900.39961686701</v>
      </c>
      <c r="G2">
        <f>1/(1+Assumptions!$B$2)^A2</f>
        <v>0.95238095238095233</v>
      </c>
      <c r="H2">
        <f>E2*G2</f>
        <v>161372.57334385952</v>
      </c>
      <c r="J2" s="8" t="s">
        <v>26</v>
      </c>
      <c r="K2">
        <v>367.39541959771037</v>
      </c>
    </row>
    <row r="3" spans="1:11">
      <c r="A3">
        <v>2</v>
      </c>
      <c r="B3">
        <f>Assumptions!$B$7+A3-1</f>
        <v>36</v>
      </c>
      <c r="C3">
        <f>C2*(1-VLOOKUP(B2,'Mortality_Table '!$A:$D,4,FALSE))*(1-Assumptions!$B$3)</f>
        <v>969.67128406809854</v>
      </c>
      <c r="D3">
        <f>C3*VLOOKUP(B3,'Mortality_Table '!A:D,4,FALSE)</f>
        <v>0.39450673673124836</v>
      </c>
      <c r="E3">
        <f>D3*Assumptions!$B$6</f>
        <v>197253.36836562419</v>
      </c>
      <c r="F3">
        <f t="shared" ref="F3:F21" si="0">C3*$K$2*G3</f>
        <v>323131.78075469355</v>
      </c>
      <c r="G3">
        <f>1/(1+Assumptions!$B$2)^A3</f>
        <v>0.90702947845804982</v>
      </c>
      <c r="H3">
        <f t="shared" ref="H3:H21" si="1">E3*G3</f>
        <v>178914.61983276569</v>
      </c>
    </row>
    <row r="4" spans="1:11">
      <c r="A4">
        <v>3</v>
      </c>
      <c r="B4">
        <f>Assumptions!$B$7+A4-1</f>
        <v>37</v>
      </c>
      <c r="C4">
        <f>C3*(1-VLOOKUP(B3,'Mortality_Table '!$A:$D,4,FALSE))*(1-Assumptions!$B$3)</f>
        <v>940.19847401142624</v>
      </c>
      <c r="D4">
        <f>C4*VLOOKUP(B4,'Mortality_Table '!A:D,4,FALSE)</f>
        <v>0.42906917093262037</v>
      </c>
      <c r="E4">
        <f>D4*Assumptions!$B$6</f>
        <v>214534.58546631018</v>
      </c>
      <c r="F4">
        <f t="shared" si="0"/>
        <v>298390.76805058192</v>
      </c>
      <c r="G4">
        <f>1/(1+Assumptions!$B$2)^A4</f>
        <v>0.86383759853147601</v>
      </c>
      <c r="H4">
        <f t="shared" si="1"/>
        <v>185323.04111116307</v>
      </c>
      <c r="J4" s="8" t="s">
        <v>29</v>
      </c>
      <c r="K4">
        <f>K2/(1-Assumptions!$B$10-Assumptions!$B$11)</f>
        <v>489.86055946361381</v>
      </c>
    </row>
    <row r="5" spans="1:11">
      <c r="A5">
        <v>4</v>
      </c>
      <c r="B5">
        <f>Assumptions!$B$7+A5-1</f>
        <v>38</v>
      </c>
      <c r="C5">
        <f>C4*(1-VLOOKUP(B4,'Mortality_Table '!$A:$D,4,FALSE))*(1-Assumptions!$B$3)</f>
        <v>911.5763226952788</v>
      </c>
      <c r="D5">
        <f>C5*VLOOKUP(B5,'Mortality_Table '!A:D,4,FALSE)</f>
        <v>0.39896622210204696</v>
      </c>
      <c r="E5">
        <f>D5*Assumptions!$B$6</f>
        <v>199483.11105102347</v>
      </c>
      <c r="F5">
        <f t="shared" si="0"/>
        <v>275530.43480604875</v>
      </c>
      <c r="G5">
        <f>1/(1+Assumptions!$B$2)^A5</f>
        <v>0.82270247479188197</v>
      </c>
      <c r="H5">
        <f t="shared" si="1"/>
        <v>164115.24914086083</v>
      </c>
    </row>
    <row r="6" spans="1:11">
      <c r="A6">
        <v>5</v>
      </c>
      <c r="B6">
        <f>Assumptions!$B$7+A6-1</f>
        <v>39</v>
      </c>
      <c r="C6">
        <f>C5*(1-VLOOKUP(B5,'Mortality_Table '!$A:$D,4,FALSE))*(1-Assumptions!$B$3)</f>
        <v>883.84203577898143</v>
      </c>
      <c r="D6">
        <f>C6*VLOOKUP(B6,'Mortality_Table '!A:D,4,FALSE)</f>
        <v>0.42878883211728397</v>
      </c>
      <c r="E6">
        <f>D6*Assumptions!$B$6</f>
        <v>214394.41605864197</v>
      </c>
      <c r="F6">
        <f t="shared" si="0"/>
        <v>254426.23723016714</v>
      </c>
      <c r="G6">
        <f>1/(1+Assumptions!$B$2)^A6</f>
        <v>0.78352616646845896</v>
      </c>
      <c r="H6">
        <f t="shared" si="1"/>
        <v>167983.63492667157</v>
      </c>
      <c r="J6" s="8" t="s">
        <v>30</v>
      </c>
      <c r="K6">
        <f>K4/12</f>
        <v>40.821713288634484</v>
      </c>
    </row>
    <row r="7" spans="1:11">
      <c r="A7">
        <v>6</v>
      </c>
      <c r="B7">
        <f>Assumptions!$B$7+A7-1</f>
        <v>40</v>
      </c>
      <c r="C7">
        <f>C6*(1-VLOOKUP(B6,'Mortality_Table '!$A:$D,4,FALSE))*(1-Assumptions!$B$3)</f>
        <v>856.91084953845825</v>
      </c>
      <c r="D7">
        <f>C7*VLOOKUP(B7,'Mortality_Table '!A:D,4,FALSE)</f>
        <v>0.52357348099644752</v>
      </c>
      <c r="E7">
        <f>D7*Assumptions!$B$6</f>
        <v>261786.74049822375</v>
      </c>
      <c r="F7">
        <f t="shared" si="0"/>
        <v>234927.3526307292</v>
      </c>
      <c r="G7">
        <f>1/(1+Assumptions!$B$2)^A7</f>
        <v>0.74621539663662761</v>
      </c>
      <c r="H7">
        <f t="shared" si="1"/>
        <v>195349.29639509195</v>
      </c>
    </row>
    <row r="8" spans="1:11">
      <c r="A8">
        <v>7</v>
      </c>
      <c r="B8">
        <f>Assumptions!$B$7+A8-1</f>
        <v>41</v>
      </c>
      <c r="C8">
        <f>C7*(1-VLOOKUP(B7,'Mortality_Table '!$A:$D,4,FALSE))*(1-Assumptions!$B$3)</f>
        <v>830.69565777573791</v>
      </c>
      <c r="D8">
        <f>C8*VLOOKUP(B8,'Mortality_Table '!A:D,4,FALSE)</f>
        <v>0.40301943329135953</v>
      </c>
      <c r="E8">
        <f>D8*Assumptions!$B$6</f>
        <v>201509.71664567976</v>
      </c>
      <c r="F8">
        <f t="shared" si="0"/>
        <v>216895.52133769135</v>
      </c>
      <c r="G8">
        <f>1/(1+Assumptions!$B$2)^A8</f>
        <v>0.71068133013012147</v>
      </c>
      <c r="H8">
        <f t="shared" si="1"/>
        <v>143209.19345989556</v>
      </c>
    </row>
    <row r="9" spans="1:11">
      <c r="A9">
        <v>8</v>
      </c>
      <c r="B9">
        <f>Assumptions!$B$7+A9-1</f>
        <v>42</v>
      </c>
      <c r="C9">
        <f>C8*(1-VLOOKUP(B8,'Mortality_Table '!$A:$D,4,FALSE))*(1-Assumptions!$B$3)</f>
        <v>805.38385919217308</v>
      </c>
      <c r="D9">
        <f>C9*VLOOKUP(B9,'Mortality_Table '!A:D,4,FALSE)</f>
        <v>0.46632837339414834</v>
      </c>
      <c r="E9">
        <f>D9*Assumptions!$B$6</f>
        <v>233164.18669707418</v>
      </c>
      <c r="F9">
        <f t="shared" si="0"/>
        <v>200272.93691259145</v>
      </c>
      <c r="G9">
        <f>1/(1+Assumptions!$B$2)^A9</f>
        <v>0.67683936202868722</v>
      </c>
      <c r="H9">
        <f t="shared" si="1"/>
        <v>157814.69937198542</v>
      </c>
    </row>
    <row r="10" spans="1:11">
      <c r="A10">
        <v>9</v>
      </c>
      <c r="B10">
        <f>Assumptions!$B$7+A10-1</f>
        <v>43</v>
      </c>
      <c r="C10">
        <f>C9*(1-VLOOKUP(B9,'Mortality_Table '!$A:$D,4,FALSE))*(1-Assumptions!$B$3)</f>
        <v>780.7700048942155</v>
      </c>
      <c r="D10">
        <f>C10*VLOOKUP(B10,'Mortality_Table '!A:D,4,FALSE)</f>
        <v>0.5337572966334071</v>
      </c>
      <c r="E10">
        <f>D10*Assumptions!$B$6</f>
        <v>266878.64831670356</v>
      </c>
      <c r="F10">
        <f t="shared" si="0"/>
        <v>184906.92079398705</v>
      </c>
      <c r="G10">
        <f>1/(1+Assumptions!$B$2)^A10</f>
        <v>0.64460891621779726</v>
      </c>
      <c r="H10">
        <f t="shared" si="1"/>
        <v>172032.35625310094</v>
      </c>
    </row>
    <row r="11" spans="1:11">
      <c r="A11">
        <v>10</v>
      </c>
      <c r="B11">
        <f>Assumptions!$B$7+A11-1</f>
        <v>44</v>
      </c>
      <c r="C11">
        <f>C10*(1-VLOOKUP(B10,'Mortality_Table '!$A:$D,4,FALSE))*(1-Assumptions!$B$3)</f>
        <v>756.82916016965464</v>
      </c>
      <c r="D11">
        <f>C11*VLOOKUP(B11,'Mortality_Table '!A:D,4,FALSE)</f>
        <v>0.65032120943118288</v>
      </c>
      <c r="E11">
        <f>D11*Assumptions!$B$6</f>
        <v>325160.60471559141</v>
      </c>
      <c r="F11">
        <f t="shared" si="0"/>
        <v>170701.99771879058</v>
      </c>
      <c r="G11">
        <f>1/(1+Assumptions!$B$2)^A11</f>
        <v>0.61391325354075932</v>
      </c>
      <c r="H11">
        <f t="shared" si="1"/>
        <v>199620.40476422949</v>
      </c>
    </row>
    <row r="12" spans="1:11">
      <c r="A12">
        <v>11</v>
      </c>
      <c r="B12">
        <f>Assumptions!$B$7+A12-1</f>
        <v>45</v>
      </c>
      <c r="C12">
        <f>C11*(1-VLOOKUP(B11,'Mortality_Table '!$A:$D,4,FALSE))*(1-Assumptions!$B$3)</f>
        <v>733.49347379141682</v>
      </c>
      <c r="D12">
        <f>C12*VLOOKUP(B12,'Mortality_Table '!A:D,4,FALSE)</f>
        <v>0.67338602465742425</v>
      </c>
      <c r="E12">
        <f>D12*Assumptions!$B$6</f>
        <v>336693.01232871215</v>
      </c>
      <c r="F12">
        <f t="shared" si="0"/>
        <v>157560.62754269686</v>
      </c>
      <c r="G12">
        <f>1/(1+Assumptions!$B$2)^A12</f>
        <v>0.5846792890864374</v>
      </c>
      <c r="H12">
        <f t="shared" si="1"/>
        <v>196857.43108872251</v>
      </c>
    </row>
    <row r="13" spans="1:11">
      <c r="A13">
        <v>12</v>
      </c>
      <c r="B13">
        <f>Assumptions!$B$7+A13-1</f>
        <v>46</v>
      </c>
      <c r="C13">
        <f>C12*(1-VLOOKUP(B12,'Mortality_Table '!$A:$D,4,FALSE))*(1-Assumptions!$B$3)</f>
        <v>710.83548513375649</v>
      </c>
      <c r="D13">
        <f>C13*VLOOKUP(B13,'Mortality_Table '!A:D,4,FALSE)</f>
        <v>0.69270772458345187</v>
      </c>
      <c r="E13">
        <f>D13*Assumptions!$B$6</f>
        <v>346353.86229172593</v>
      </c>
      <c r="F13">
        <f t="shared" si="0"/>
        <v>145422.38014336588</v>
      </c>
      <c r="G13">
        <f>1/(1+Assumptions!$B$2)^A13</f>
        <v>0.5568374181775595</v>
      </c>
      <c r="H13">
        <f t="shared" si="1"/>
        <v>192862.79045435064</v>
      </c>
    </row>
    <row r="14" spans="1:11">
      <c r="A14">
        <v>13</v>
      </c>
      <c r="B14">
        <f>Assumptions!$B$7+A14-1</f>
        <v>47</v>
      </c>
      <c r="C14">
        <f>C13*(1-VLOOKUP(B13,'Mortality_Table '!$A:$D,4,FALSE))*(1-Assumptions!$B$3)</f>
        <v>688.83849408689787</v>
      </c>
      <c r="D14">
        <f>C14*VLOOKUP(B14,'Mortality_Table '!A:D,4,FALSE)</f>
        <v>0.63119682713895509</v>
      </c>
      <c r="E14">
        <f>D14*Assumptions!$B$6</f>
        <v>315598.41356947756</v>
      </c>
      <c r="F14">
        <f t="shared" si="0"/>
        <v>134211.66318263503</v>
      </c>
      <c r="G14">
        <f>1/(1+Assumptions!$B$2)^A14</f>
        <v>0.53032135064529462</v>
      </c>
      <c r="H14">
        <f t="shared" si="1"/>
        <v>167368.5769456776</v>
      </c>
    </row>
    <row r="15" spans="1:11">
      <c r="A15">
        <v>14</v>
      </c>
      <c r="B15">
        <f>Assumptions!$B$7+A15-1</f>
        <v>48</v>
      </c>
      <c r="C15">
        <f>C14*(1-VLOOKUP(B14,'Mortality_Table '!$A:$D,4,FALSE))*(1-Assumptions!$B$3)</f>
        <v>667.56107834196609</v>
      </c>
      <c r="D15">
        <f>C15*VLOOKUP(B15,'Mortality_Table '!A:D,4,FALSE)</f>
        <v>0.74543755659809174</v>
      </c>
      <c r="E15">
        <f>D15*Assumptions!$B$6</f>
        <v>372718.77829904587</v>
      </c>
      <c r="F15">
        <f t="shared" si="0"/>
        <v>123872.40173043849</v>
      </c>
      <c r="G15">
        <f>1/(1+Assumptions!$B$2)^A15</f>
        <v>0.50506795299551888</v>
      </c>
      <c r="H15">
        <f t="shared" si="1"/>
        <v>188248.31039848973</v>
      </c>
    </row>
    <row r="16" spans="1:11">
      <c r="A16">
        <v>15</v>
      </c>
      <c r="B16">
        <f>Assumptions!$B$7+A16-1</f>
        <v>49</v>
      </c>
      <c r="C16">
        <f>C15*(1-VLOOKUP(B15,'Mortality_Table '!$A:$D,4,FALSE))*(1-Assumptions!$B$3)</f>
        <v>646.81117156180699</v>
      </c>
      <c r="D16">
        <f>C16*VLOOKUP(B16,'Mortality_Table '!A:D,4,FALSE)</f>
        <v>0.75148450224356156</v>
      </c>
      <c r="E16">
        <f>D16*Assumptions!$B$6</f>
        <v>375742.25112178078</v>
      </c>
      <c r="F16">
        <f t="shared" si="0"/>
        <v>114306.72022720925</v>
      </c>
      <c r="G16">
        <f>1/(1+Assumptions!$B$2)^A16</f>
        <v>0.48101709809097021</v>
      </c>
      <c r="H16">
        <f t="shared" si="1"/>
        <v>180738.44726476757</v>
      </c>
    </row>
    <row r="17" spans="1:8">
      <c r="A17">
        <v>16</v>
      </c>
      <c r="B17">
        <f>Assumptions!$B$7+A17-1</f>
        <v>50</v>
      </c>
      <c r="C17">
        <f>C16*(1-VLOOKUP(B16,'Mortality_Table '!$A:$D,4,FALSE))*(1-Assumptions!$B$3)</f>
        <v>626.67789644777656</v>
      </c>
      <c r="D17">
        <f>C17*VLOOKUP(B17,'Mortality_Table '!A:D,4,FALSE)</f>
        <v>0.80576670127063188</v>
      </c>
      <c r="E17">
        <f>D17*Assumptions!$B$6</f>
        <v>402883.35063531593</v>
      </c>
      <c r="F17">
        <f t="shared" si="0"/>
        <v>105474.95029877395</v>
      </c>
      <c r="G17">
        <f>1/(1+Assumptions!$B$2)^A17</f>
        <v>0.45811152199140021</v>
      </c>
      <c r="H17">
        <f t="shared" si="1"/>
        <v>184565.50494453954</v>
      </c>
    </row>
    <row r="18" spans="1:8">
      <c r="A18">
        <v>17</v>
      </c>
      <c r="B18">
        <f>Assumptions!$B$7+A18-1</f>
        <v>51</v>
      </c>
      <c r="C18">
        <f>C17*(1-VLOOKUP(B17,'Mortality_Table '!$A:$D,4,FALSE))*(1-Assumptions!$B$3)</f>
        <v>607.09596585411077</v>
      </c>
      <c r="D18">
        <f>C18*VLOOKUP(B18,'Mortality_Table '!A:D,4,FALSE)</f>
        <v>0.83725932606367448</v>
      </c>
      <c r="E18">
        <f>D18*Assumptions!$B$6</f>
        <v>418629.66303183726</v>
      </c>
      <c r="F18">
        <f t="shared" si="0"/>
        <v>97313.479294108518</v>
      </c>
      <c r="G18">
        <f>1/(1+Assumptions!$B$2)^A18</f>
        <v>0.43629668761085727</v>
      </c>
      <c r="H18">
        <f t="shared" si="1"/>
        <v>182646.73531643994</v>
      </c>
    </row>
    <row r="19" spans="1:8">
      <c r="A19">
        <v>18</v>
      </c>
      <c r="B19">
        <f>Assumptions!$B$7+A19-1</f>
        <v>52</v>
      </c>
      <c r="C19">
        <f>C18*(1-VLOOKUP(B18,'Mortality_Table '!$A:$D,4,FALSE))*(1-Assumptions!$B$3)</f>
        <v>588.07094533220572</v>
      </c>
      <c r="D19">
        <f>C19*VLOOKUP(B19,'Mortality_Table '!A:D,4,FALSE)</f>
        <v>0.95450906459581208</v>
      </c>
      <c r="E19">
        <f>D19*Assumptions!$B$6</f>
        <v>477254.53229790606</v>
      </c>
      <c r="F19">
        <f t="shared" si="0"/>
        <v>89775.137125527035</v>
      </c>
      <c r="G19">
        <f>1/(1+Assumptions!$B$2)^A19</f>
        <v>0.41552065486748313</v>
      </c>
      <c r="H19">
        <f t="shared" si="1"/>
        <v>198309.11579890031</v>
      </c>
    </row>
    <row r="20" spans="1:8">
      <c r="A20">
        <v>19</v>
      </c>
      <c r="B20">
        <f>Assumptions!$B$7+A20-1</f>
        <v>53</v>
      </c>
      <c r="C20">
        <f>C19*(1-VLOOKUP(B19,'Mortality_Table '!$A:$D,4,FALSE))*(1-Assumptions!$B$3)</f>
        <v>569.50294317958151</v>
      </c>
      <c r="D20">
        <f>C20*VLOOKUP(B20,'Mortality_Table '!A:D,4,FALSE)</f>
        <v>1.0591958865709927</v>
      </c>
      <c r="E20">
        <f>D20*Assumptions!$B$6</f>
        <v>529597.94328549632</v>
      </c>
      <c r="F20">
        <f t="shared" si="0"/>
        <v>82800.513106468352</v>
      </c>
      <c r="G20">
        <f>1/(1+Assumptions!$B$2)^A20</f>
        <v>0.39573395701665059</v>
      </c>
      <c r="H20">
        <f t="shared" si="1"/>
        <v>209579.88972424917</v>
      </c>
    </row>
    <row r="21" spans="1:8">
      <c r="A21">
        <v>20</v>
      </c>
      <c r="B21">
        <f>Assumptions!$B$7+A21-1</f>
        <v>54</v>
      </c>
      <c r="C21">
        <f>C20*(1-VLOOKUP(B20,'Mortality_Table '!$A:$D,4,FALSE))*(1-Assumptions!$B$3)</f>
        <v>551.39043487422009</v>
      </c>
      <c r="D21">
        <f>C21*VLOOKUP(B21,'Mortality_Table '!A:D,4,FALSE)</f>
        <v>1.110510626491201</v>
      </c>
      <c r="E21">
        <f>D21*Assumptions!$B$6</f>
        <v>555255.31324560056</v>
      </c>
      <c r="F21">
        <f t="shared" si="0"/>
        <v>76349.638334968375</v>
      </c>
      <c r="G21">
        <f>1/(1+Assumptions!$B$2)^A21</f>
        <v>0.37688948287300061</v>
      </c>
      <c r="H21">
        <f t="shared" si="1"/>
        <v>209269.88787162036</v>
      </c>
    </row>
    <row r="23" spans="1:8">
      <c r="F23" t="s">
        <v>28</v>
      </c>
      <c r="H23" t="s">
        <v>27</v>
      </c>
    </row>
    <row r="24" spans="1:8">
      <c r="F24">
        <f>SUM(F2:F21)</f>
        <v>3636171.8608383401</v>
      </c>
      <c r="H24">
        <f>SUM(H2:H21)</f>
        <v>3636181.7584073814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12BF6-6394-C341-AEAB-688552853763}">
  <dimension ref="A1"/>
  <sheetViews>
    <sheetView workbookViewId="0">
      <selection activeCell="B40" sqref="B40"/>
    </sheetView>
  </sheetViews>
  <sheetFormatPr baseColWidth="10" defaultRowHeight="16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Mortality_Table </vt:lpstr>
      <vt:lpstr>Assumptions</vt:lpstr>
      <vt:lpstr>Premium Calculator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Ravid</dc:creator>
  <cp:lastModifiedBy>Anna Ravid</cp:lastModifiedBy>
  <dcterms:created xsi:type="dcterms:W3CDTF">2026-04-19T00:59:23Z</dcterms:created>
  <dcterms:modified xsi:type="dcterms:W3CDTF">2026-04-24T02:01:49Z</dcterms:modified>
</cp:coreProperties>
</file>